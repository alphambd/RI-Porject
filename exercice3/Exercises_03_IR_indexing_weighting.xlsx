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>
    <definedName name="b">Feuil1!$K$6</definedName>
    <definedName name="N">Feuil1!$K$3</definedName>
    <definedName name="k_1">Feuil1!$J$6</definedName>
    <definedName name="avdl">Feuil1!$L$3</definedName>
    <definedName name="Nart">Feuil1!$K$3</definedName>
  </definedNames>
  <calcPr/>
  <extLst>
    <ext uri="GoogleSheetsCustomDataVersion2">
      <go:sheetsCustomData xmlns:go="http://customooxmlschemas.google.com/" r:id="rId7" roundtripDataChecksum="/U6ELajx71FIBqiKvbneSa2+EFjcb1qTYDtLV+Kl1nI="/>
    </ext>
  </extLst>
</workbook>
</file>

<file path=xl/sharedStrings.xml><?xml version="1.0" encoding="utf-8"?>
<sst xmlns="http://schemas.openxmlformats.org/spreadsheetml/2006/main" count="37" uniqueCount="29">
  <si>
    <r>
      <rPr>
        <rFont val="Calibri"/>
        <b/>
        <color theme="1"/>
        <sz val="10.0"/>
      </rPr>
      <t>tf</t>
    </r>
    <r>
      <rPr>
        <rFont val="Calibri"/>
        <b/>
        <color theme="1"/>
        <sz val="10.0"/>
        <vertAlign val="subscript"/>
      </rPr>
      <t>t,d</t>
    </r>
  </si>
  <si>
    <t>N</t>
  </si>
  <si>
    <t>avdl</t>
  </si>
  <si>
    <t>a</t>
  </si>
  <si>
    <t>b</t>
  </si>
  <si>
    <t>c</t>
  </si>
  <si>
    <t>d</t>
  </si>
  <si>
    <t>e</t>
  </si>
  <si>
    <t>dl</t>
  </si>
  <si>
    <t>article</t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</si>
  <si>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1</t>
    </r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</si>
  <si>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2</t>
    </r>
  </si>
  <si>
    <r>
      <rPr>
        <rFont val="Calibri"/>
        <b/>
        <color theme="1"/>
        <sz val="10.0"/>
      </rPr>
      <t>k</t>
    </r>
    <r>
      <rPr>
        <rFont val="Calibri"/>
        <b/>
        <color theme="1"/>
        <sz val="10.0"/>
        <vertAlign val="subscript"/>
      </rPr>
      <t>1</t>
    </r>
  </si>
  <si>
    <t>q</t>
  </si>
  <si>
    <r>
      <rPr>
        <rFont val="Calibri"/>
        <b/>
        <color theme="1"/>
        <sz val="10.0"/>
      </rPr>
      <t>df</t>
    </r>
    <r>
      <rPr>
        <rFont val="Calibri"/>
        <b/>
        <color theme="1"/>
        <sz val="10.0"/>
        <vertAlign val="subscript"/>
      </rPr>
      <t>t</t>
    </r>
  </si>
  <si>
    <t>SMART ltn</t>
  </si>
  <si>
    <t>RSV(d, q)</t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</si>
  <si>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1</t>
    </r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</si>
  <si>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2</t>
    </r>
  </si>
  <si>
    <t>SMART ltc</t>
  </si>
  <si>
    <t>d1</t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</si>
  <si>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2</t>
    </r>
  </si>
  <si>
    <t>BM25 (TF part)</t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</si>
  <si>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1</t>
    </r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</si>
  <si>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2</t>
    </r>
  </si>
  <si>
    <t>BM25 (IDF part)</t>
  </si>
  <si>
    <t>BM25 (TF part * IDF part)</t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</si>
  <si>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1</t>
    </r>
  </si>
  <si>
    <r>
      <rPr>
        <rFont val="Calibri"/>
        <b/>
        <color theme="1"/>
        <sz val="10.0"/>
      </rPr>
      <t>d</t>
    </r>
    <r>
      <rPr>
        <rFont val="Calibri"/>
        <b/>
        <color theme="1"/>
        <sz val="10.0"/>
        <vertAlign val="subscript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</si>
</sst>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4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/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1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4" fillId="0" fontId="2" numFmtId="1" xfId="0" applyAlignment="1" applyBorder="1" applyFont="1" applyNumberFormat="1">
      <alignment vertical="center"/>
    </xf>
    <xf borderId="8" fillId="0" fontId="2" numFmtId="0" xfId="0" applyAlignment="1" applyBorder="1" applyFont="1">
      <alignment vertical="center"/>
    </xf>
    <xf borderId="9" fillId="0" fontId="1" numFmtId="1" xfId="0" applyAlignment="1" applyBorder="1" applyFont="1" applyNumberFormat="1">
      <alignment horizontal="center" readingOrder="0" vertical="center"/>
    </xf>
    <xf borderId="10" fillId="0" fontId="1" numFmtId="1" xfId="0" applyAlignment="1" applyBorder="1" applyFont="1" applyNumberFormat="1">
      <alignment horizontal="center" readingOrder="0" vertical="center"/>
    </xf>
    <xf borderId="11" fillId="0" fontId="1" numFmtId="1" xfId="0" applyAlignment="1" applyBorder="1" applyFont="1" applyNumberFormat="1">
      <alignment horizontal="center" readingOrder="0" vertical="center"/>
    </xf>
    <xf borderId="12" fillId="0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1" numFmtId="1" xfId="0" applyAlignment="1" applyBorder="1" applyFont="1" applyNumberFormat="1">
      <alignment horizontal="center" readingOrder="0" vertical="center"/>
    </xf>
    <xf borderId="15" fillId="0" fontId="1" numFmtId="1" xfId="0" applyAlignment="1" applyBorder="1" applyFont="1" applyNumberFormat="1">
      <alignment horizontal="center" readingOrder="0" vertical="center"/>
    </xf>
    <xf borderId="16" fillId="0" fontId="1" numFmtId="1" xfId="0" applyAlignment="1" applyBorder="1" applyFont="1" applyNumberFormat="1">
      <alignment horizontal="center" readingOrder="0" vertical="center"/>
    </xf>
    <xf borderId="16" fillId="0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1" numFmtId="1" xfId="0" applyAlignment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readingOrder="0" vertical="center"/>
    </xf>
    <xf borderId="5" fillId="0" fontId="1" numFmtId="1" xfId="0" applyAlignment="1" applyBorder="1" applyFont="1" applyNumberFormat="1">
      <alignment horizontal="center" readingOrder="0" vertical="center"/>
    </xf>
    <xf borderId="6" fillId="0" fontId="1" numFmtId="1" xfId="0" applyAlignment="1" applyBorder="1" applyFont="1" applyNumberFormat="1">
      <alignment horizontal="center" readingOrder="0" vertical="center"/>
    </xf>
    <xf borderId="7" fillId="0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17" fillId="0" fontId="1" numFmtId="165" xfId="0" applyAlignment="1" applyBorder="1" applyFont="1" applyNumberFormat="1">
      <alignment horizontal="center" vertical="center"/>
    </xf>
    <xf borderId="18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8" fillId="0" fontId="2" numFmtId="0" xfId="0" applyAlignment="1" applyBorder="1" applyFont="1">
      <alignment readingOrder="0" vertical="center"/>
    </xf>
    <xf borderId="9" fillId="0" fontId="1" numFmtId="165" xfId="0" applyAlignment="1" applyBorder="1" applyFont="1" applyNumberForma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10</xdr:row>
      <xdr:rowOff>95250</xdr:rowOff>
    </xdr:from>
    <xdr:ext cx="302895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781050</xdr:colOff>
      <xdr:row>21</xdr:row>
      <xdr:rowOff>9525</xdr:rowOff>
    </xdr:from>
    <xdr:ext cx="3686175" cy="5905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161925</xdr:colOff>
      <xdr:row>15</xdr:row>
      <xdr:rowOff>142875</xdr:rowOff>
    </xdr:from>
    <xdr:ext cx="2028825" cy="5905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15</xdr:row>
      <xdr:rowOff>161925</xdr:rowOff>
    </xdr:from>
    <xdr:ext cx="270510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16</xdr:row>
      <xdr:rowOff>76200</xdr:rowOff>
    </xdr:from>
    <xdr:ext cx="190500" cy="3810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25</xdr:row>
      <xdr:rowOff>47625</xdr:rowOff>
    </xdr:from>
    <xdr:ext cx="2419350" cy="5048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57"/>
    <col customWidth="1" min="3" max="7" width="6.29"/>
    <col customWidth="1" min="8" max="8" width="11.29"/>
    <col customWidth="1" min="9" max="9" width="11.57"/>
    <col customWidth="1" min="10" max="10" width="7.86"/>
    <col customWidth="1" min="11" max="11" width="5.14"/>
    <col customWidth="1" min="12" max="12" width="10.0"/>
    <col customWidth="1" min="13" max="13" width="8.71"/>
    <col customWidth="1" min="14" max="19" width="5.14"/>
    <col customWidth="1" min="20" max="26" width="10.71"/>
  </cols>
  <sheetData>
    <row r="1" ht="12.75" customHeight="1">
      <c r="A1" s="1"/>
      <c r="B1" s="1"/>
      <c r="C1" s="2"/>
      <c r="D1" s="2"/>
      <c r="E1" s="2"/>
      <c r="F1" s="2"/>
      <c r="G1" s="2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3" t="s">
        <v>0</v>
      </c>
      <c r="D2" s="4"/>
      <c r="E2" s="4"/>
      <c r="F2" s="4"/>
      <c r="G2" s="5"/>
      <c r="H2" s="1"/>
      <c r="I2" s="1"/>
      <c r="J2" s="1"/>
      <c r="K2" s="6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8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6" t="s">
        <v>8</v>
      </c>
      <c r="I3" s="1"/>
      <c r="J3" s="11" t="s">
        <v>9</v>
      </c>
      <c r="K3" s="12">
        <v>1000.0</v>
      </c>
      <c r="L3" s="12">
        <f>20000/Nart</f>
        <v>20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3" t="s">
        <v>10</v>
      </c>
      <c r="C4" s="14">
        <v>1.0</v>
      </c>
      <c r="D4" s="15">
        <v>0.0</v>
      </c>
      <c r="E4" s="15">
        <v>1.0</v>
      </c>
      <c r="F4" s="15">
        <v>4.0</v>
      </c>
      <c r="G4" s="16">
        <v>5.0</v>
      </c>
      <c r="H4" s="17">
        <f t="shared" ref="H4:H5" si="1">SUM(C4:G4)</f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8"/>
      <c r="B5" s="19" t="s">
        <v>11</v>
      </c>
      <c r="C5" s="20">
        <v>1.0</v>
      </c>
      <c r="D5" s="21">
        <v>4.0</v>
      </c>
      <c r="E5" s="21">
        <v>1.0</v>
      </c>
      <c r="F5" s="21">
        <v>0.0</v>
      </c>
      <c r="G5" s="22">
        <v>0.0</v>
      </c>
      <c r="H5" s="23">
        <f t="shared" si="1"/>
        <v>6</v>
      </c>
      <c r="I5" s="1"/>
      <c r="J5" s="6" t="s">
        <v>12</v>
      </c>
      <c r="K5" s="6" t="s">
        <v>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4"/>
      <c r="B6" s="19" t="s">
        <v>13</v>
      </c>
      <c r="C6" s="20">
        <v>1.0</v>
      </c>
      <c r="D6" s="20">
        <v>0.0</v>
      </c>
      <c r="E6" s="20">
        <v>0.0</v>
      </c>
      <c r="F6" s="20">
        <v>0.0</v>
      </c>
      <c r="G6" s="22">
        <v>1.0</v>
      </c>
      <c r="H6" s="25"/>
      <c r="I6" s="1"/>
      <c r="J6" s="26">
        <v>1.0</v>
      </c>
      <c r="K6" s="26">
        <v>0.5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"/>
      <c r="D7" s="2"/>
      <c r="E7" s="2"/>
      <c r="F7" s="2"/>
      <c r="G7" s="2"/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3" t="s">
        <v>14</v>
      </c>
      <c r="D8" s="4"/>
      <c r="E8" s="4"/>
      <c r="F8" s="4"/>
      <c r="G8" s="5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8" t="s">
        <v>3</v>
      </c>
      <c r="D9" s="9" t="s">
        <v>4</v>
      </c>
      <c r="E9" s="9" t="s">
        <v>5</v>
      </c>
      <c r="F9" s="9" t="s">
        <v>6</v>
      </c>
      <c r="G9" s="10" t="s">
        <v>7</v>
      </c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27">
        <v>10.0</v>
      </c>
      <c r="D10" s="28">
        <v>25.0</v>
      </c>
      <c r="E10" s="28">
        <v>10.0</v>
      </c>
      <c r="F10" s="28">
        <v>24.0</v>
      </c>
      <c r="G10" s="29">
        <v>250.0</v>
      </c>
      <c r="H10" s="30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3" t="s">
        <v>15</v>
      </c>
      <c r="D12" s="4"/>
      <c r="E12" s="4"/>
      <c r="F12" s="4"/>
      <c r="G12" s="5"/>
      <c r="H12" s="6" t="s">
        <v>16</v>
      </c>
      <c r="I12" s="2"/>
      <c r="J12" s="1"/>
      <c r="K12" s="1"/>
      <c r="L12" s="1"/>
      <c r="M12" s="1"/>
      <c r="N12" s="1"/>
      <c r="O12" s="1"/>
      <c r="P12" s="1"/>
      <c r="Q12" s="1"/>
      <c r="R12" s="1"/>
      <c r="S12" s="2"/>
      <c r="T12" s="1"/>
      <c r="U12" s="1"/>
      <c r="V12" s="1"/>
      <c r="W12" s="1"/>
      <c r="X12" s="1"/>
      <c r="Y12" s="1"/>
      <c r="Z12" s="1"/>
    </row>
    <row r="13" ht="12.75" customHeight="1">
      <c r="A13" s="18"/>
      <c r="B13" s="13" t="s">
        <v>17</v>
      </c>
      <c r="C13" s="31">
        <f>IF(C4=0,0,1+LOG10(C4))*LOG10(N/C$10)</f>
        <v>2</v>
      </c>
      <c r="D13" s="31">
        <f>IF(D4=0,0,1+LOG10(D4))*LOG10(N/D$10)</f>
        <v>0</v>
      </c>
      <c r="E13" s="31">
        <f>IF(E4=0,0,1+LOG10(E4))*LOG10(N/E$10)</f>
        <v>2</v>
      </c>
      <c r="F13" s="31">
        <f>IF(F4=0,0,1+LOG10(F4))*LOG10(N/F$10)</f>
        <v>2.594998764</v>
      </c>
      <c r="G13" s="31">
        <f>IF(G4=0,0,1+LOG10(G4))*LOG10(N/G$10)</f>
        <v>1.022881866</v>
      </c>
      <c r="H13" s="32">
        <f>SUMPRODUCT(C13:G13,C6:G6)</f>
        <v>3.022881866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4"/>
      <c r="B14" s="19" t="s">
        <v>18</v>
      </c>
      <c r="C14" s="31">
        <f>IF(C5=0,0,1+LOG10(C5))*LOG10(N/C$10)</f>
        <v>2</v>
      </c>
      <c r="D14" s="31">
        <f>IF(D5=0,0,1+LOG10(D5))*LOG10(N/D$10)</f>
        <v>2.566596216</v>
      </c>
      <c r="E14" s="31">
        <f>IF(E5=0,0,1+LOG10(E5))*LOG10(N/E$10)</f>
        <v>2</v>
      </c>
      <c r="F14" s="31">
        <f>IF(F5=0,0,1+LOG10(F5))*LOG10(N/F$10)</f>
        <v>0</v>
      </c>
      <c r="G14" s="31">
        <f>IF(G5=0,0,1+LOG10(G5))*LOG10(N/G$10)</f>
        <v>0</v>
      </c>
      <c r="H14" s="32">
        <f>SUMPRODUCT(C14:G14,$C$6:$G$6)</f>
        <v>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4"/>
      <c r="B15" s="24"/>
      <c r="C15" s="2"/>
      <c r="D15" s="2"/>
      <c r="E15" s="2"/>
      <c r="F15" s="2"/>
      <c r="G15" s="2"/>
      <c r="H15" s="33"/>
      <c r="I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3" t="s">
        <v>19</v>
      </c>
      <c r="D16" s="4"/>
      <c r="E16" s="4"/>
      <c r="F16" s="4"/>
      <c r="G16" s="5"/>
      <c r="H16" s="6" t="s">
        <v>16</v>
      </c>
      <c r="I16" s="1"/>
      <c r="J16" s="34"/>
      <c r="K16" s="1"/>
      <c r="L16" s="1"/>
      <c r="M16" s="1"/>
      <c r="N16" s="1"/>
      <c r="O16" s="1"/>
      <c r="P16" s="1"/>
      <c r="Q16" s="1"/>
      <c r="R16" s="1"/>
      <c r="S16" s="1"/>
      <c r="T16" s="1"/>
      <c r="V16" s="1"/>
      <c r="W16" s="1"/>
      <c r="X16" s="1"/>
      <c r="Y16" s="1"/>
      <c r="Z16" s="1"/>
    </row>
    <row r="17" ht="12.75" customHeight="1">
      <c r="A17" s="1"/>
      <c r="B17" s="35" t="s">
        <v>20</v>
      </c>
      <c r="C17" s="31">
        <f t="shared" ref="C17:G17" si="2">C13/SQRT(SUMSQ($C13:$G13))</f>
        <v>0.5034684805</v>
      </c>
      <c r="D17" s="31">
        <f t="shared" si="2"/>
        <v>0</v>
      </c>
      <c r="E17" s="31">
        <f t="shared" si="2"/>
        <v>0.5034684805</v>
      </c>
      <c r="F17" s="31">
        <f t="shared" si="2"/>
        <v>0.6532500423</v>
      </c>
      <c r="G17" s="31">
        <f t="shared" si="2"/>
        <v>0.2574943894</v>
      </c>
      <c r="H17" s="32">
        <f t="shared" ref="H17:H18" si="4">SUMPRODUCT(C$6:G$6,C17:G17)</f>
        <v>0.7609628699</v>
      </c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4"/>
      <c r="B18" s="19" t="s">
        <v>21</v>
      </c>
      <c r="C18" s="31">
        <f t="shared" ref="C18:G18" si="3">C14/SQRT(SUMSQ($C14:$G14))</f>
        <v>0.5236496403</v>
      </c>
      <c r="D18" s="31">
        <f t="shared" si="3"/>
        <v>0.6719985926</v>
      </c>
      <c r="E18" s="31">
        <f t="shared" si="3"/>
        <v>0.5236496403</v>
      </c>
      <c r="F18" s="31">
        <f t="shared" si="3"/>
        <v>0</v>
      </c>
      <c r="G18" s="31">
        <f t="shared" si="3"/>
        <v>0</v>
      </c>
      <c r="H18" s="32">
        <f t="shared" si="4"/>
        <v>0.5236496403</v>
      </c>
      <c r="I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4"/>
      <c r="B19" s="24"/>
      <c r="C19" s="2"/>
      <c r="D19" s="2"/>
      <c r="E19" s="2"/>
      <c r="F19" s="2"/>
      <c r="G19" s="2"/>
      <c r="H19" s="33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3" t="s">
        <v>22</v>
      </c>
      <c r="D20" s="4"/>
      <c r="E20" s="4"/>
      <c r="F20" s="4"/>
      <c r="G20" s="5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" t="s">
        <v>23</v>
      </c>
      <c r="C21" s="36">
        <f>(C4*(k_1+1))/(C4+k_1*(1-b+b*($H4/avdl)))</f>
        <v>1.126760563</v>
      </c>
      <c r="D21" s="36">
        <f>(D4*(k_1+1))/(D4+k_1*(1-b+b*($H4/avdl)))</f>
        <v>0</v>
      </c>
      <c r="E21" s="36">
        <f>(E4*(k_1+1))/(E4+k_1*(1-b+b*($H4/avdl)))</f>
        <v>1.126760563</v>
      </c>
      <c r="F21" s="36">
        <f>(F4*(k_1+1))/(F4+k_1*(1-b+b*($H4/avdl)))</f>
        <v>1.67539267</v>
      </c>
      <c r="G21" s="36">
        <f>(G4*(k_1+1))/(G4+k_1*(1-b+b*($H4/avdl)))</f>
        <v>1.731601732</v>
      </c>
      <c r="H21" s="2"/>
      <c r="I21" s="2"/>
      <c r="J21" s="3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4"/>
      <c r="B22" s="19" t="s">
        <v>24</v>
      </c>
      <c r="C22" s="36">
        <f>(C5*(k_1+1))/(C5+k_1*(1-b+b*($H5/avdl)))</f>
        <v>1.212121212</v>
      </c>
      <c r="D22" s="36">
        <f>(D5*(k_1+1))/(D5+k_1*(1-b+b*($H5/avdl)))</f>
        <v>1.720430108</v>
      </c>
      <c r="E22" s="36">
        <f>(E5*(k_1+1))/(E5+k_1*(1-b+b*($H5/avdl)))</f>
        <v>1.212121212</v>
      </c>
      <c r="F22" s="36">
        <f>(F5*(k_1+1))/(F5+k_1*(1-b+b*($H5/avdl)))</f>
        <v>0</v>
      </c>
      <c r="G22" s="36">
        <f>(G5*(k_1+1))/(G5+k_1*(1-b+b*($H5/avdl)))</f>
        <v>0</v>
      </c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4"/>
      <c r="B23" s="2"/>
      <c r="C23" s="2"/>
      <c r="D23" s="2"/>
      <c r="E23" s="2"/>
      <c r="F23" s="2"/>
      <c r="G23" s="2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3" t="s">
        <v>25</v>
      </c>
      <c r="D24" s="4"/>
      <c r="E24" s="4"/>
      <c r="F24" s="4"/>
      <c r="G24" s="5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8"/>
      <c r="B25" s="1"/>
      <c r="C25" s="37">
        <f>LOG10((N-C10+0.5)/(C10+0.5))</f>
        <v>1.974665181</v>
      </c>
      <c r="D25" s="37">
        <f>LOG10((N-D10+0.5)/(D10+0.5))</f>
        <v>1.582687093</v>
      </c>
      <c r="E25" s="37">
        <f>LOG10((N-E10+0.5)/(E10+0.5))</f>
        <v>1.974665181</v>
      </c>
      <c r="F25" s="37">
        <f>LOG10((N-F10+0.5)/(F10+0.5))</f>
        <v>1.600506163</v>
      </c>
      <c r="G25" s="37">
        <f>LOG10((N-G10+0.5)/(G10+0.5))</f>
        <v>0.4765429664</v>
      </c>
      <c r="H25" s="2"/>
      <c r="I25" s="2"/>
      <c r="J25" s="2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3" t="s">
        <v>26</v>
      </c>
      <c r="D27" s="4"/>
      <c r="E27" s="4"/>
      <c r="F27" s="4"/>
      <c r="G27" s="5"/>
      <c r="H27" s="6" t="s">
        <v>16</v>
      </c>
      <c r="I27" s="18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" t="s">
        <v>27</v>
      </c>
      <c r="C28" s="31">
        <f t="shared" ref="C28:G28" si="5">C21*C$25</f>
        <v>2.224974852</v>
      </c>
      <c r="D28" s="31">
        <f t="shared" si="5"/>
        <v>0</v>
      </c>
      <c r="E28" s="31">
        <f t="shared" si="5"/>
        <v>2.224974852</v>
      </c>
      <c r="F28" s="31">
        <f t="shared" si="5"/>
        <v>2.681476294</v>
      </c>
      <c r="G28" s="31">
        <f t="shared" si="5"/>
        <v>0.8251826258</v>
      </c>
      <c r="H28" s="38">
        <f t="shared" ref="H28:H29" si="7">SUMPRODUCT(C$6:G$6,C28:G28)</f>
        <v>3.050157477</v>
      </c>
      <c r="I28" s="33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9" t="s">
        <v>28</v>
      </c>
      <c r="C29" s="31">
        <f t="shared" ref="C29:G29" si="6">C22*C$25</f>
        <v>2.393533552</v>
      </c>
      <c r="D29" s="31">
        <f t="shared" si="6"/>
        <v>2.722902526</v>
      </c>
      <c r="E29" s="31">
        <f t="shared" si="6"/>
        <v>2.393533552</v>
      </c>
      <c r="F29" s="31">
        <f t="shared" si="6"/>
        <v>0</v>
      </c>
      <c r="G29" s="31">
        <f t="shared" si="6"/>
        <v>0</v>
      </c>
      <c r="H29" s="38">
        <f t="shared" si="7"/>
        <v>2.393533552</v>
      </c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C2:G2"/>
    <mergeCell ref="C8:G8"/>
    <mergeCell ref="C12:G12"/>
    <mergeCell ref="C16:G16"/>
    <mergeCell ref="C20:G20"/>
    <mergeCell ref="C24:G24"/>
    <mergeCell ref="C27:G27"/>
  </mergeCells>
  <printOptions/>
  <pageMargins bottom="0.15748031496062992" footer="0.0" header="0.0" left="0.2362204724409449" right="0.2362204724409449" top="0.1574803149606299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2011-12-12T00:22:13Z</dcterms:created>
  <dc:creator>Mathias</dc:creator>
</cp:coreProperties>
</file>